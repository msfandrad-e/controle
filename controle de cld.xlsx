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16974199767\Desktop\controle\"/>
    </mc:Choice>
  </mc:AlternateContent>
  <bookViews>
    <workbookView xWindow="0" yWindow="0" windowWidth="24000" windowHeight="9615" tabRatio="500"/>
  </bookViews>
  <sheets>
    <sheet name="Controle de CLD" sheetId="1" r:id="rId1"/>
    <sheet name="Parâmetros de extração - SOMAR" sheetId="2" r:id="rId2"/>
    <sheet name="RESUMO" sheetId="3" r:id="rId3"/>
    <sheet name="VALIDAÇÃO" sheetId="4" state="hidden" r:id="rId4"/>
  </sheets>
  <definedNames>
    <definedName name="_xlnm._FilterDatabase" localSheetId="0" hidden="1">'Controle de CLD'!$A$5:$N$25</definedName>
    <definedName name="_xlnm.Print_Area" localSheetId="2">RESUMO!$A$1:$K$27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" i="3" l="1"/>
  <c r="O6" i="1" s="1"/>
  <c r="J9" i="3"/>
  <c r="T9" i="3" s="1"/>
  <c r="I9" i="3"/>
  <c r="Q9" i="3" s="1"/>
  <c r="O11" i="1" s="1"/>
  <c r="G9" i="3"/>
  <c r="F9" i="3"/>
  <c r="E9" i="3"/>
  <c r="B9" i="3"/>
  <c r="M9" i="3" s="1"/>
  <c r="J8" i="3"/>
  <c r="T8" i="3" s="1"/>
  <c r="I8" i="3"/>
  <c r="Q8" i="3" s="1"/>
  <c r="O10" i="1" s="1"/>
  <c r="G8" i="3"/>
  <c r="F8" i="3"/>
  <c r="E8" i="3"/>
  <c r="B8" i="3"/>
  <c r="M8" i="3" s="1"/>
  <c r="J7" i="3"/>
  <c r="T7" i="3" s="1"/>
  <c r="I7" i="3"/>
  <c r="Q7" i="3" s="1"/>
  <c r="O9" i="1" s="1"/>
  <c r="G7" i="3"/>
  <c r="F7" i="3"/>
  <c r="E7" i="3"/>
  <c r="B7" i="3"/>
  <c r="M7" i="3" s="1"/>
  <c r="J6" i="3"/>
  <c r="T6" i="3" s="1"/>
  <c r="I6" i="3"/>
  <c r="Q6" i="3" s="1"/>
  <c r="O8" i="1" s="1"/>
  <c r="G6" i="3"/>
  <c r="F6" i="3"/>
  <c r="E6" i="3"/>
  <c r="B6" i="3"/>
  <c r="M6" i="3" s="1"/>
  <c r="J5" i="3"/>
  <c r="T5" i="3" s="1"/>
  <c r="I5" i="3"/>
  <c r="Q5" i="3" s="1"/>
  <c r="O7" i="1" s="1"/>
  <c r="G5" i="3"/>
  <c r="F5" i="3"/>
  <c r="E5" i="3"/>
  <c r="B5" i="3"/>
  <c r="M5" i="3" s="1"/>
  <c r="J4" i="3"/>
  <c r="T4" i="3" s="1"/>
  <c r="I4" i="3"/>
  <c r="G4" i="3"/>
  <c r="F4" i="3"/>
  <c r="E4" i="3"/>
  <c r="B4" i="3"/>
  <c r="M4" i="3" s="1"/>
  <c r="J3" i="3"/>
  <c r="I3" i="3"/>
  <c r="H3" i="3"/>
  <c r="G3" i="3"/>
  <c r="F3" i="3"/>
  <c r="E3" i="3"/>
  <c r="D3" i="3"/>
  <c r="C3" i="3"/>
  <c r="I25" i="1"/>
  <c r="H25" i="1"/>
  <c r="J25" i="1" s="1"/>
  <c r="I24" i="1"/>
  <c r="H24" i="1"/>
  <c r="J24" i="1" s="1"/>
  <c r="I23" i="1"/>
  <c r="H23" i="1"/>
  <c r="J23" i="1" s="1"/>
  <c r="J22" i="1"/>
  <c r="I22" i="1"/>
  <c r="H22" i="1"/>
  <c r="I21" i="1"/>
  <c r="H21" i="1"/>
  <c r="J21" i="1" s="1"/>
  <c r="I20" i="1"/>
  <c r="H20" i="1"/>
  <c r="J20" i="1" s="1"/>
  <c r="I19" i="1"/>
  <c r="H19" i="1"/>
  <c r="J19" i="1" s="1"/>
  <c r="I18" i="1"/>
  <c r="H18" i="1"/>
  <c r="J18" i="1" s="1"/>
  <c r="I17" i="1"/>
  <c r="H17" i="1"/>
  <c r="J17" i="1" s="1"/>
  <c r="I16" i="1"/>
  <c r="H16" i="1"/>
  <c r="J16" i="1" s="1"/>
  <c r="J15" i="1"/>
  <c r="I15" i="1"/>
  <c r="H15" i="1"/>
  <c r="I14" i="1"/>
  <c r="H14" i="1"/>
  <c r="J14" i="1" s="1"/>
  <c r="I13" i="1"/>
  <c r="H13" i="1"/>
  <c r="J13" i="1" s="1"/>
  <c r="H12" i="1"/>
  <c r="J12" i="1" s="1"/>
  <c r="I11" i="1"/>
  <c r="C9" i="3" s="1"/>
  <c r="N9" i="3" s="1"/>
  <c r="P9" i="3" s="1"/>
  <c r="H11" i="1"/>
  <c r="H9" i="3" s="1"/>
  <c r="I10" i="1"/>
  <c r="C8" i="3" s="1"/>
  <c r="N8" i="3" s="1"/>
  <c r="P8" i="3" s="1"/>
  <c r="H10" i="1"/>
  <c r="H8" i="3" s="1"/>
  <c r="I9" i="1"/>
  <c r="C7" i="3" s="1"/>
  <c r="N7" i="3" s="1"/>
  <c r="P7" i="3" s="1"/>
  <c r="H9" i="1"/>
  <c r="J9" i="1" s="1"/>
  <c r="D7" i="3" s="1"/>
  <c r="O7" i="3" s="1"/>
  <c r="I8" i="1"/>
  <c r="C6" i="3" s="1"/>
  <c r="N6" i="3" s="1"/>
  <c r="P6" i="3" s="1"/>
  <c r="H8" i="1"/>
  <c r="J8" i="1" s="1"/>
  <c r="D6" i="3" s="1"/>
  <c r="O6" i="3" s="1"/>
  <c r="I7" i="1"/>
  <c r="C5" i="3" s="1"/>
  <c r="N5" i="3" s="1"/>
  <c r="P5" i="3" s="1"/>
  <c r="H7" i="1"/>
  <c r="H5" i="3" s="1"/>
  <c r="I6" i="1"/>
  <c r="C4" i="3" s="1"/>
  <c r="N4" i="3" s="1"/>
  <c r="P4" i="3" s="1"/>
  <c r="H6" i="1"/>
  <c r="H4" i="3" s="1"/>
  <c r="G3" i="1"/>
  <c r="F3" i="1"/>
  <c r="R6" i="3" l="1"/>
  <c r="S6" i="3" s="1"/>
  <c r="U6" i="3" s="1"/>
  <c r="V6" i="3" s="1"/>
  <c r="R7" i="3"/>
  <c r="S7" i="3" s="1"/>
  <c r="U7" i="3" s="1"/>
  <c r="V7" i="3" s="1"/>
  <c r="J11" i="1"/>
  <c r="D9" i="3" s="1"/>
  <c r="O9" i="3" s="1"/>
  <c r="R9" i="3" s="1"/>
  <c r="S9" i="3" s="1"/>
  <c r="U9" i="3" s="1"/>
  <c r="V9" i="3" s="1"/>
  <c r="J7" i="1"/>
  <c r="D5" i="3" s="1"/>
  <c r="O5" i="3" s="1"/>
  <c r="R5" i="3" s="1"/>
  <c r="S5" i="3" s="1"/>
  <c r="U5" i="3" s="1"/>
  <c r="V5" i="3" s="1"/>
  <c r="J6" i="1"/>
  <c r="D4" i="3" s="1"/>
  <c r="O4" i="3" s="1"/>
  <c r="R4" i="3" s="1"/>
  <c r="S4" i="3" s="1"/>
  <c r="U4" i="3" s="1"/>
  <c r="V4" i="3" s="1"/>
  <c r="H7" i="3"/>
  <c r="H6" i="3"/>
  <c r="J10" i="1"/>
  <c r="D8" i="3" s="1"/>
  <c r="O8" i="3" s="1"/>
  <c r="R8" i="3" s="1"/>
  <c r="S8" i="3" s="1"/>
  <c r="U8" i="3" s="1"/>
  <c r="V8" i="3" s="1"/>
</calcChain>
</file>

<file path=xl/comments1.xml><?xml version="1.0" encoding="utf-8"?>
<comments xmlns="http://schemas.openxmlformats.org/spreadsheetml/2006/main">
  <authors>
    <author>CC (IM) Concellos</author>
  </authors>
  <commentList>
    <comment ref="P3" authorId="0" shapeId="0">
      <text>
        <r>
          <rPr>
            <b/>
            <sz val="9"/>
            <color indexed="81"/>
            <rFont val="Segoe UI"/>
            <family val="2"/>
          </rPr>
          <t>CC (IM) Concellos:</t>
        </r>
        <r>
          <rPr>
            <sz val="9"/>
            <color indexed="81"/>
            <rFont val="Segoe UI"/>
            <family val="2"/>
          </rPr>
          <t xml:space="preserve">
IDEAL = 1</t>
        </r>
      </text>
    </comment>
  </commentList>
</comments>
</file>

<file path=xl/sharedStrings.xml><?xml version="1.0" encoding="utf-8"?>
<sst xmlns="http://schemas.openxmlformats.org/spreadsheetml/2006/main" count="91" uniqueCount="61">
  <si>
    <t>VALOR GLOBAL</t>
  </si>
  <si>
    <t>VALOR EXECUTADO</t>
  </si>
  <si>
    <t>Última Atualização</t>
  </si>
  <si>
    <t>SUBTOTAIS</t>
  </si>
  <si>
    <t>,</t>
  </si>
  <si>
    <t>CONTRATO</t>
  </si>
  <si>
    <t>EMPRESA</t>
  </si>
  <si>
    <t>INÍCIO</t>
  </si>
  <si>
    <t>FIM</t>
  </si>
  <si>
    <t>MOEDA</t>
  </si>
  <si>
    <t>VALOR SEGREGADO</t>
  </si>
  <si>
    <t>SALDO</t>
  </si>
  <si>
    <t>PERCENTUAL TEÓRICO</t>
  </si>
  <si>
    <t>PERCENTUAL SEGREGADO</t>
  </si>
  <si>
    <t>OBJETO</t>
  </si>
  <si>
    <t>SITUAÇÃO</t>
  </si>
  <si>
    <t>RENOVÁVEL</t>
  </si>
  <si>
    <t>PRICE LIST - VIGÊNCIA</t>
  </si>
  <si>
    <t>71000/2021-006/00</t>
  </si>
  <si>
    <t>AIRBUS</t>
  </si>
  <si>
    <t>EUR</t>
  </si>
  <si>
    <t>Aquisição de sobressalentes para helicópteros (Super Puma, Cougar, Esquilo Mono e Biturbina)</t>
  </si>
  <si>
    <t>EM VIGOR (8.666)</t>
  </si>
  <si>
    <t>NÃO</t>
  </si>
  <si>
    <t>71000/2022-002/00</t>
  </si>
  <si>
    <t>WARTISILA</t>
  </si>
  <si>
    <t>Aquisição de sobressalentes (Navios Gastão Mota, Bahia, Amazonas, e outros meios).</t>
  </si>
  <si>
    <t>71000/2022-006/00</t>
  </si>
  <si>
    <t>MTU-F (RSS)</t>
  </si>
  <si>
    <t>Aquisição de sobressalentes (Motores Rolls-Royce)</t>
  </si>
  <si>
    <t>71000/2024-007/00</t>
  </si>
  <si>
    <t>MAN ENERGY</t>
  </si>
  <si>
    <t>Aquisição de sobressalentes (Man Energy)</t>
  </si>
  <si>
    <t xml:space="preserve">EM VIGOR </t>
  </si>
  <si>
    <t>SIM</t>
  </si>
  <si>
    <t>71000/2024-014/00</t>
  </si>
  <si>
    <t>LEONARDO UK LTD</t>
  </si>
  <si>
    <t>GBP</t>
  </si>
  <si>
    <t>Aquisição de sobressalentes para helicópteros (Super Lynx)</t>
  </si>
  <si>
    <t>EM VIGOR</t>
  </si>
  <si>
    <t>71000/2024-015/00</t>
  </si>
  <si>
    <t>QUANTIPARTS</t>
  </si>
  <si>
    <t>Aquisição de sobressalentes (Motores Sulzer)</t>
  </si>
  <si>
    <t>EM ASSINATURA</t>
  </si>
  <si>
    <t>71000/2025-XXX/00</t>
  </si>
  <si>
    <t>NAVAL GROUP</t>
  </si>
  <si>
    <t>Aquisição de sobressalentes (Submarinos Classe Riachuelo)</t>
  </si>
  <si>
    <t>MINUTA</t>
  </si>
  <si>
    <t>KONGSBERG</t>
  </si>
  <si>
    <t>Aquisição de sobressalentes (Navios Hidrográficos)</t>
  </si>
  <si>
    <t>VIGÊNCIA</t>
  </si>
  <si>
    <t>BRL</t>
  </si>
  <si>
    <t>USD</t>
  </si>
  <si>
    <t>-</t>
  </si>
  <si>
    <t>TEMPO EM VIGÊNCIA (meses)</t>
  </si>
  <si>
    <t>ESTIMATIVA TÉRMINO SALDO</t>
  </si>
  <si>
    <t>QTD MESES PARA TÉRMINO DA VIGÊNCIA</t>
  </si>
  <si>
    <t>SALDO ESGOTA EM QUANTOS MESES</t>
  </si>
  <si>
    <t>Vel. Média CONSUMO (% / MÊS )</t>
  </si>
  <si>
    <t>DATA INÍCIO PROCEDIMENTOS RENOVAÇÃO</t>
  </si>
  <si>
    <t>ÍNDICE EXECUÇÃO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</si>
</sst>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/m/yyyy"/>
    <numFmt numFmtId="165" formatCode="_-* #,##0.00_-;\-* #,##0.00_-;_-* \-??_-;_-@_-"/>
    <numFmt numFmtId="166" formatCode="d/mmm"/>
  </numFmts>
  <fonts count="6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88402966399123"/>
        <bgColor rgb="FFD9D9D9"/>
      </patternFill>
    </fill>
    <fill>
      <patternFill patternType="solid">
        <fgColor theme="9" tint="0.79989013336588644"/>
        <bgColor rgb="FFD9D9D9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5" fontId="3" fillId="0" borderId="0" applyBorder="0" applyProtection="0"/>
    <xf numFmtId="9" fontId="3" fillId="0" borderId="0" applyBorder="0" applyProtection="0"/>
    <xf numFmtId="0" fontId="1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9" fontId="0" fillId="0" borderId="0" xfId="2" applyFont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165" fontId="0" fillId="0" borderId="1" xfId="1" applyFont="1" applyBorder="1" applyAlignment="1" applyProtection="1">
      <alignment vertical="center"/>
    </xf>
    <xf numFmtId="165" fontId="0" fillId="0" borderId="0" xfId="1" applyFont="1" applyBorder="1" applyAlignment="1" applyProtection="1">
      <alignment vertical="center"/>
    </xf>
    <xf numFmtId="9" fontId="2" fillId="2" borderId="1" xfId="2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/>
    </xf>
    <xf numFmtId="164" fontId="0" fillId="0" borderId="1" xfId="0" applyNumberForma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/>
    </xf>
    <xf numFmtId="165" fontId="0" fillId="3" borderId="1" xfId="1" applyFont="1" applyFill="1" applyBorder="1" applyAlignment="1" applyProtection="1">
      <alignment vertical="center"/>
      <protection locked="0"/>
    </xf>
    <xf numFmtId="9" fontId="0" fillId="0" borderId="1" xfId="2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vertical="center" wrapText="1"/>
    </xf>
    <xf numFmtId="0" fontId="0" fillId="0" borderId="1" xfId="0" applyFont="1" applyBorder="1" applyAlignment="1" applyProtection="1">
      <alignment horizontal="center" vertical="center" wrapText="1"/>
    </xf>
    <xf numFmtId="164" fontId="0" fillId="0" borderId="1" xfId="0" applyNumberFormat="1" applyBorder="1" applyAlignment="1" applyProtection="1">
      <alignment horizontal="center" vertical="center" wrapText="1"/>
    </xf>
    <xf numFmtId="4" fontId="0" fillId="3" borderId="0" xfId="0" applyNumberFormat="1" applyFill="1" applyAlignment="1" applyProtection="1">
      <alignment vertical="center" wrapText="1"/>
      <protection locked="0"/>
    </xf>
    <xf numFmtId="0" fontId="0" fillId="0" borderId="0" xfId="0" applyProtection="1"/>
    <xf numFmtId="166" fontId="2" fillId="0" borderId="0" xfId="0" applyNumberFormat="1" applyFont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9" fontId="2" fillId="2" borderId="1" xfId="0" applyNumberFormat="1" applyFont="1" applyFill="1" applyBorder="1" applyAlignment="1" applyProtection="1">
      <alignment horizontal="center" vertical="center" wrapText="1"/>
    </xf>
    <xf numFmtId="9" fontId="0" fillId="0" borderId="1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165" fontId="0" fillId="4" borderId="1" xfId="1" applyFont="1" applyFill="1" applyBorder="1" applyAlignment="1" applyProtection="1">
      <alignment vertical="center"/>
    </xf>
    <xf numFmtId="4" fontId="0" fillId="0" borderId="0" xfId="0" applyNumberForma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</xf>
    <xf numFmtId="1" fontId="0" fillId="0" borderId="1" xfId="1" applyNumberFormat="1" applyFont="1" applyBorder="1" applyAlignment="1" applyProtection="1">
      <alignment horizontal="center" vertical="center"/>
    </xf>
    <xf numFmtId="10" fontId="0" fillId="0" borderId="1" xfId="0" applyNumberFormat="1" applyBorder="1" applyAlignment="1" applyProtection="1">
      <alignment horizontal="center"/>
    </xf>
    <xf numFmtId="2" fontId="0" fillId="0" borderId="1" xfId="0" applyNumberFormat="1" applyBorder="1" applyAlignment="1" applyProtection="1">
      <alignment horizontal="center"/>
    </xf>
    <xf numFmtId="1" fontId="0" fillId="0" borderId="1" xfId="0" applyNumberFormat="1" applyBorder="1" applyAlignment="1" applyProtection="1">
      <alignment horizontal="center"/>
    </xf>
    <xf numFmtId="9" fontId="0" fillId="0" borderId="0" xfId="0" applyNumberFormat="1"/>
    <xf numFmtId="0" fontId="2" fillId="0" borderId="1" xfId="0" applyFont="1" applyBorder="1" applyAlignment="1" applyProtection="1">
      <alignment horizontal="center" vertical="center"/>
    </xf>
  </cellXfs>
  <cellStyles count="4">
    <cellStyle name="Normal" xfId="0" builtinId="0"/>
    <cellStyle name="Normal 2" xfId="3"/>
    <cellStyle name="Porcentagem" xfId="2" builtinId="5"/>
    <cellStyle name="Vírgula" xfId="1" builtinId="3"/>
  </cellStyles>
  <dxfs count="4">
    <dxf>
      <fill>
        <patternFill>
          <bgColor theme="4" tint="0.59996337778862885"/>
        </patternFill>
      </fill>
    </dxf>
    <dxf>
      <fill>
        <patternFill>
          <bgColor rgb="FFFFCC00"/>
        </patternFill>
      </fill>
    </dxf>
    <dxf>
      <fill>
        <patternFill>
          <bgColor rgb="FFFFCC00"/>
        </patternFill>
      </fill>
    </dxf>
    <dxf>
      <fill>
        <patternFill>
          <bgColor rgb="FFFFCC0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pt-BR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400" b="0" strike="noStrike" spc="-1">
                <a:solidFill>
                  <a:srgbClr val="595959"/>
                </a:solidFill>
                <a:latin typeface="Calibri"/>
              </a:rPr>
              <a:t>Saldo Comprometido do Contrato (% Teórico x Segregado)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RESUMO!$C$3</c:f>
              <c:strCache>
                <c:ptCount val="1"/>
                <c:pt idx="0">
                  <c:v>PERCENTUAL TEÓRICO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US"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RESUMO!$B$4:$B$9</c:f>
              <c:strCache>
                <c:ptCount val="6"/>
                <c:pt idx="0">
                  <c:v>AIRBUS</c:v>
                </c:pt>
                <c:pt idx="1">
                  <c:v>WARTISILA</c:v>
                </c:pt>
                <c:pt idx="2">
                  <c:v>MTU-F (RSS)</c:v>
                </c:pt>
                <c:pt idx="3">
                  <c:v>MAN ENERGY</c:v>
                </c:pt>
                <c:pt idx="4">
                  <c:v>LEONARDO UK LTD</c:v>
                </c:pt>
                <c:pt idx="5">
                  <c:v>QUANTIPARTS</c:v>
                </c:pt>
              </c:strCache>
            </c:strRef>
          </c:cat>
          <c:val>
            <c:numRef>
              <c:f>RESUMO!$C$4:$C$9</c:f>
              <c:numCache>
                <c:formatCode>0%</c:formatCode>
                <c:ptCount val="6"/>
                <c:pt idx="0">
                  <c:v>1.0506502395619439</c:v>
                </c:pt>
                <c:pt idx="1">
                  <c:v>0.85900068446269673</c:v>
                </c:pt>
                <c:pt idx="2">
                  <c:v>0.7344284736481862</c:v>
                </c:pt>
                <c:pt idx="3">
                  <c:v>0.24863088718510407</c:v>
                </c:pt>
                <c:pt idx="4">
                  <c:v>0.17634173055859803</c:v>
                </c:pt>
                <c:pt idx="5">
                  <c:v>0.14293537787513691</c:v>
                </c:pt>
              </c:numCache>
            </c:numRef>
          </c:val>
        </c:ser>
        <c:ser>
          <c:idx val="1"/>
          <c:order val="1"/>
          <c:tx>
            <c:strRef>
              <c:f>RESUMO!$D$3</c:f>
              <c:strCache>
                <c:ptCount val="1"/>
                <c:pt idx="0">
                  <c:v>PERCENTUAL SEGREGADO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US"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RESUMO!$B$4:$B$9</c:f>
              <c:strCache>
                <c:ptCount val="6"/>
                <c:pt idx="0">
                  <c:v>AIRBUS</c:v>
                </c:pt>
                <c:pt idx="1">
                  <c:v>WARTISILA</c:v>
                </c:pt>
                <c:pt idx="2">
                  <c:v>MTU-F (RSS)</c:v>
                </c:pt>
                <c:pt idx="3">
                  <c:v>MAN ENERGY</c:v>
                </c:pt>
                <c:pt idx="4">
                  <c:v>LEONARDO UK LTD</c:v>
                </c:pt>
                <c:pt idx="5">
                  <c:v>QUANTIPARTS</c:v>
                </c:pt>
              </c:strCache>
            </c:strRef>
          </c:cat>
          <c:val>
            <c:numRef>
              <c:f>RESUMO!$D$4:$D$9</c:f>
              <c:numCache>
                <c:formatCode>0%</c:formatCode>
                <c:ptCount val="6"/>
                <c:pt idx="0">
                  <c:v>2.5495E-2</c:v>
                </c:pt>
                <c:pt idx="1">
                  <c:v>0.14996716636751758</c:v>
                </c:pt>
                <c:pt idx="2">
                  <c:v>0.49749489665092261</c:v>
                </c:pt>
                <c:pt idx="3">
                  <c:v>0.42020903966421819</c:v>
                </c:pt>
                <c:pt idx="4">
                  <c:v>0.37079174576751434</c:v>
                </c:pt>
                <c:pt idx="5">
                  <c:v>4.725013198517914E-3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219664"/>
        <c:axId val="763219120"/>
      </c:barChart>
      <c:catAx>
        <c:axId val="763219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763219120"/>
        <c:crosses val="autoZero"/>
        <c:auto val="1"/>
        <c:lblAlgn val="ctr"/>
        <c:lblOffset val="100"/>
        <c:noMultiLvlLbl val="0"/>
      </c:catAx>
      <c:valAx>
        <c:axId val="7632191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632196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lang="en-US"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524880</xdr:colOff>
      <xdr:row>29</xdr:row>
      <xdr:rowOff>181440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086040" cy="57060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3</xdr:col>
      <xdr:colOff>581040</xdr:colOff>
      <xdr:row>0</xdr:row>
      <xdr:rowOff>47520</xdr:rowOff>
    </xdr:from>
    <xdr:to>
      <xdr:col>9</xdr:col>
      <xdr:colOff>380520</xdr:colOff>
      <xdr:row>3</xdr:row>
      <xdr:rowOff>161640</xdr:rowOff>
    </xdr:to>
    <xdr:sp macro="" textlink="">
      <xdr:nvSpPr>
        <xdr:cNvPr id="3" name="Retângulo 2"/>
        <xdr:cNvSpPr/>
      </xdr:nvSpPr>
      <xdr:spPr>
        <a:xfrm>
          <a:off x="2415600" y="47520"/>
          <a:ext cx="3468600" cy="685800"/>
        </a:xfrm>
        <a:prstGeom prst="rect">
          <a:avLst/>
        </a:prstGeom>
        <a:noFill/>
        <a:ln w="28575">
          <a:solidFill>
            <a:srgbClr val="FF0000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</xdr:sp>
    <xdr:clientData/>
  </xdr:twoCellAnchor>
  <xdr:twoCellAnchor>
    <xdr:from>
      <xdr:col>9</xdr:col>
      <xdr:colOff>466560</xdr:colOff>
      <xdr:row>1</xdr:row>
      <xdr:rowOff>133200</xdr:rowOff>
    </xdr:from>
    <xdr:to>
      <xdr:col>13</xdr:col>
      <xdr:colOff>275760</xdr:colOff>
      <xdr:row>3</xdr:row>
      <xdr:rowOff>37440</xdr:rowOff>
    </xdr:to>
    <xdr:sp macro="" textlink="">
      <xdr:nvSpPr>
        <xdr:cNvPr id="4" name="Retângulo 3"/>
        <xdr:cNvSpPr/>
      </xdr:nvSpPr>
      <xdr:spPr>
        <a:xfrm>
          <a:off x="5970240" y="323640"/>
          <a:ext cx="2255040" cy="285480"/>
        </a:xfrm>
        <a:prstGeom prst="rect">
          <a:avLst/>
        </a:prstGeom>
        <a:noFill/>
        <a:ln w="28575">
          <a:solidFill>
            <a:srgbClr val="FF0000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</xdr:sp>
    <xdr:clientData/>
  </xdr:twoCellAnchor>
  <xdr:twoCellAnchor>
    <xdr:from>
      <xdr:col>0</xdr:col>
      <xdr:colOff>104760</xdr:colOff>
      <xdr:row>24</xdr:row>
      <xdr:rowOff>9360</xdr:rowOff>
    </xdr:from>
    <xdr:to>
      <xdr:col>8</xdr:col>
      <xdr:colOff>37800</xdr:colOff>
      <xdr:row>29</xdr:row>
      <xdr:rowOff>171000</xdr:rowOff>
    </xdr:to>
    <xdr:sp macro="" textlink="">
      <xdr:nvSpPr>
        <xdr:cNvPr id="5" name="Retângulo 4"/>
        <xdr:cNvSpPr/>
      </xdr:nvSpPr>
      <xdr:spPr>
        <a:xfrm>
          <a:off x="104760" y="4581360"/>
          <a:ext cx="4825080" cy="1114200"/>
        </a:xfrm>
        <a:prstGeom prst="rect">
          <a:avLst/>
        </a:prstGeom>
        <a:noFill/>
        <a:ln w="28575">
          <a:solidFill>
            <a:srgbClr val="FF0000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324000</xdr:colOff>
      <xdr:row>10</xdr:row>
      <xdr:rowOff>81000</xdr:rowOff>
    </xdr:from>
    <xdr:to>
      <xdr:col>6</xdr:col>
      <xdr:colOff>889035</xdr:colOff>
      <xdr:row>23</xdr:row>
      <xdr:rowOff>156960</xdr:rowOff>
    </xdr:to>
    <xdr:graphicFrame macro="">
      <xdr:nvGraphicFramePr>
        <xdr:cNvPr id="4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showGridLines="0" tabSelected="1" zoomScale="85" zoomScaleNormal="85" workbookViewId="0">
      <pane xSplit="2" ySplit="5" topLeftCell="J6" activePane="bottomRight" state="frozen"/>
      <selection pane="topRight" activeCell="E1" sqref="E1"/>
      <selection pane="bottomLeft" activeCell="A6" sqref="A6"/>
      <selection pane="bottomRight" activeCell="P6" sqref="P6"/>
    </sheetView>
  </sheetViews>
  <sheetFormatPr defaultColWidth="9.140625" defaultRowHeight="15" x14ac:dyDescent="0.25"/>
  <cols>
    <col min="1" max="1" width="21.85546875" style="1" customWidth="1"/>
    <col min="2" max="2" width="20.5703125" style="1" customWidth="1"/>
    <col min="3" max="4" width="16.5703125" style="2" customWidth="1"/>
    <col min="5" max="5" width="16.7109375" style="2" customWidth="1"/>
    <col min="6" max="6" width="24.85546875" style="2" customWidth="1"/>
    <col min="7" max="8" width="23.28515625" style="2" customWidth="1"/>
    <col min="9" max="9" width="21.85546875" style="1" customWidth="1"/>
    <col min="10" max="10" width="22" style="3" customWidth="1"/>
    <col min="11" max="11" width="33.5703125" style="1" customWidth="1"/>
    <col min="12" max="12" width="18" style="1" customWidth="1"/>
    <col min="13" max="13" width="23.85546875" style="4" customWidth="1"/>
    <col min="14" max="14" width="18" style="1" customWidth="1"/>
    <col min="15" max="16" width="23.85546875" style="4" customWidth="1"/>
    <col min="17" max="18" width="17.85546875" style="5" customWidth="1"/>
    <col min="19" max="19" width="8.7109375" customWidth="1"/>
    <col min="20" max="16384" width="9.140625" style="4"/>
  </cols>
  <sheetData>
    <row r="1" spans="1:19" ht="9.75" customHeight="1" x14ac:dyDescent="0.25"/>
    <row r="2" spans="1:19" x14ac:dyDescent="0.25">
      <c r="F2" s="6" t="s">
        <v>0</v>
      </c>
      <c r="G2" s="6" t="s">
        <v>1</v>
      </c>
    </row>
    <row r="3" spans="1:19" ht="27.75" customHeight="1" x14ac:dyDescent="0.25">
      <c r="B3" s="6" t="s">
        <v>2</v>
      </c>
      <c r="C3" s="7">
        <v>45852</v>
      </c>
      <c r="E3" s="8" t="s">
        <v>3</v>
      </c>
      <c r="F3" s="9">
        <f>SUBTOTAL(9,F6:F25)</f>
        <v>43855090.620000005</v>
      </c>
      <c r="G3" s="9">
        <f>SUBTOTAL(9,G6:G25)</f>
        <v>12959187.67</v>
      </c>
      <c r="P3" s="10"/>
    </row>
    <row r="4" spans="1:19" ht="16.5" customHeight="1" x14ac:dyDescent="0.25">
      <c r="C4" s="2" t="s">
        <v>4</v>
      </c>
      <c r="P4" s="10"/>
    </row>
    <row r="5" spans="1:19" s="2" customFormat="1" ht="32.25" customHeight="1" x14ac:dyDescent="0.25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0</v>
      </c>
      <c r="G5" s="6" t="s">
        <v>10</v>
      </c>
      <c r="H5" s="6" t="s">
        <v>11</v>
      </c>
      <c r="I5" s="11" t="s">
        <v>12</v>
      </c>
      <c r="J5" s="11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24" t="s">
        <v>58</v>
      </c>
      <c r="P5" s="10"/>
      <c r="Q5" s="5"/>
      <c r="R5" s="5"/>
    </row>
    <row r="6" spans="1:19" ht="57" customHeight="1" x14ac:dyDescent="0.25">
      <c r="A6" s="12" t="s">
        <v>18</v>
      </c>
      <c r="B6" s="12" t="s">
        <v>19</v>
      </c>
      <c r="C6" s="13">
        <v>44411</v>
      </c>
      <c r="D6" s="13">
        <v>45872</v>
      </c>
      <c r="E6" s="14" t="s">
        <v>20</v>
      </c>
      <c r="F6" s="9">
        <v>3000000</v>
      </c>
      <c r="G6" s="15">
        <v>76485</v>
      </c>
      <c r="H6" s="9">
        <f t="shared" ref="H6:H25" si="0">IF(G6="","",F6-G6)</f>
        <v>2923515</v>
      </c>
      <c r="I6" s="16">
        <f t="shared" ref="I6:I25" ca="1" si="1">IF(C6="","",(TODAY()-C6)/(D6-C6))</f>
        <v>1.0506502395619439</v>
      </c>
      <c r="J6" s="16">
        <f t="shared" ref="J6:J25" si="2">IF(H6="","",G6/F6)</f>
        <v>2.5495E-2</v>
      </c>
      <c r="K6" s="17" t="s">
        <v>21</v>
      </c>
      <c r="L6" s="12" t="s">
        <v>22</v>
      </c>
      <c r="M6" s="18" t="s">
        <v>23</v>
      </c>
      <c r="N6" s="19">
        <v>45948</v>
      </c>
      <c r="O6" s="33">
        <f ca="1">RESUMO!O4/RESUMO!Q4</f>
        <v>4.9827361563517915E-4</v>
      </c>
      <c r="S6" s="4"/>
    </row>
    <row r="7" spans="1:19" ht="57" customHeight="1" x14ac:dyDescent="0.25">
      <c r="A7" s="12" t="s">
        <v>24</v>
      </c>
      <c r="B7" s="12" t="s">
        <v>25</v>
      </c>
      <c r="C7" s="13">
        <v>44691</v>
      </c>
      <c r="D7" s="13">
        <v>46152</v>
      </c>
      <c r="E7" s="14" t="s">
        <v>20</v>
      </c>
      <c r="F7" s="9">
        <v>7466734</v>
      </c>
      <c r="G7" s="15">
        <v>1119764.94</v>
      </c>
      <c r="H7" s="9">
        <f t="shared" si="0"/>
        <v>6346969.0600000005</v>
      </c>
      <c r="I7" s="16">
        <f t="shared" ca="1" si="1"/>
        <v>0.85900068446269673</v>
      </c>
      <c r="J7" s="16">
        <f t="shared" si="2"/>
        <v>0.14996716636751758</v>
      </c>
      <c r="K7" s="17" t="s">
        <v>26</v>
      </c>
      <c r="L7" s="12" t="s">
        <v>22</v>
      </c>
      <c r="M7" s="18" t="s">
        <v>23</v>
      </c>
      <c r="N7" s="19">
        <v>45791</v>
      </c>
      <c r="O7" s="33">
        <f ca="1">RESUMO!O5/RESUMO!Q5</f>
        <v>3.5848725028091851E-3</v>
      </c>
    </row>
    <row r="8" spans="1:19" ht="57" customHeight="1" x14ac:dyDescent="0.25">
      <c r="A8" s="12" t="s">
        <v>27</v>
      </c>
      <c r="B8" s="12" t="s">
        <v>28</v>
      </c>
      <c r="C8" s="13">
        <v>44873</v>
      </c>
      <c r="D8" s="13">
        <v>46334</v>
      </c>
      <c r="E8" s="14" t="s">
        <v>20</v>
      </c>
      <c r="F8" s="9">
        <v>7550644.5700000003</v>
      </c>
      <c r="G8" s="20">
        <v>3756407.14</v>
      </c>
      <c r="H8" s="9">
        <f t="shared" si="0"/>
        <v>3794237.43</v>
      </c>
      <c r="I8" s="16">
        <f t="shared" ca="1" si="1"/>
        <v>0.7344284736481862</v>
      </c>
      <c r="J8" s="16">
        <f t="shared" si="2"/>
        <v>0.49749489665092261</v>
      </c>
      <c r="K8" s="17" t="s">
        <v>29</v>
      </c>
      <c r="L8" s="31" t="s">
        <v>22</v>
      </c>
      <c r="M8" s="18" t="s">
        <v>23</v>
      </c>
      <c r="N8" s="19">
        <v>46023</v>
      </c>
      <c r="O8" s="33">
        <f ca="1">RESUMO!O6/RESUMO!Q6</f>
        <v>1.3909456569923279E-2</v>
      </c>
    </row>
    <row r="9" spans="1:19" ht="57" customHeight="1" x14ac:dyDescent="0.25">
      <c r="A9" s="12" t="s">
        <v>30</v>
      </c>
      <c r="B9" s="12" t="s">
        <v>31</v>
      </c>
      <c r="C9" s="13">
        <v>45492</v>
      </c>
      <c r="D9" s="13">
        <v>47318</v>
      </c>
      <c r="E9" s="14" t="s">
        <v>20</v>
      </c>
      <c r="F9" s="9">
        <v>8276521.1399999997</v>
      </c>
      <c r="G9" s="15">
        <v>3477869</v>
      </c>
      <c r="H9" s="9">
        <f t="shared" si="0"/>
        <v>4798652.1399999997</v>
      </c>
      <c r="I9" s="16">
        <f t="shared" ca="1" si="1"/>
        <v>0.24863088718510407</v>
      </c>
      <c r="J9" s="16">
        <f t="shared" si="2"/>
        <v>0.42020903966421819</v>
      </c>
      <c r="K9" s="17" t="s">
        <v>32</v>
      </c>
      <c r="L9" s="12" t="s">
        <v>33</v>
      </c>
      <c r="M9" s="18" t="s">
        <v>34</v>
      </c>
      <c r="N9" s="19">
        <v>45901</v>
      </c>
      <c r="O9" s="33">
        <f ca="1">RESUMO!O7/RESUMO!Q7</f>
        <v>2.7767117158428514E-2</v>
      </c>
    </row>
    <row r="10" spans="1:19" ht="57" customHeight="1" x14ac:dyDescent="0.25">
      <c r="A10" s="12" t="s">
        <v>35</v>
      </c>
      <c r="B10" s="12" t="s">
        <v>36</v>
      </c>
      <c r="C10" s="13">
        <v>45624</v>
      </c>
      <c r="D10" s="13">
        <v>47450</v>
      </c>
      <c r="E10" s="14" t="s">
        <v>37</v>
      </c>
      <c r="F10" s="9">
        <v>12144465.300000001</v>
      </c>
      <c r="G10" s="15">
        <v>4503067.49</v>
      </c>
      <c r="H10" s="9">
        <f t="shared" si="0"/>
        <v>7641397.8100000005</v>
      </c>
      <c r="I10" s="16">
        <f t="shared" ca="1" si="1"/>
        <v>0.17634173055859803</v>
      </c>
      <c r="J10" s="16">
        <f t="shared" si="2"/>
        <v>0.37079174576751434</v>
      </c>
      <c r="K10" s="17" t="s">
        <v>38</v>
      </c>
      <c r="L10" s="12" t="s">
        <v>39</v>
      </c>
      <c r="M10" s="18" t="s">
        <v>34</v>
      </c>
      <c r="N10" s="19">
        <v>46113</v>
      </c>
      <c r="O10" s="33">
        <f ca="1">RESUMO!O8/RESUMO!Q8</f>
        <v>3.4545814823060343E-2</v>
      </c>
    </row>
    <row r="11" spans="1:19" ht="57" customHeight="1" x14ac:dyDescent="0.25">
      <c r="A11" s="12" t="s">
        <v>40</v>
      </c>
      <c r="B11" s="12" t="s">
        <v>41</v>
      </c>
      <c r="C11" s="13">
        <v>45685</v>
      </c>
      <c r="D11" s="13">
        <v>47511</v>
      </c>
      <c r="E11" s="12" t="s">
        <v>20</v>
      </c>
      <c r="F11" s="9">
        <v>5416725.6100000003</v>
      </c>
      <c r="G11" s="15">
        <v>25594.1</v>
      </c>
      <c r="H11" s="9">
        <f t="shared" si="0"/>
        <v>5391131.5100000007</v>
      </c>
      <c r="I11" s="16">
        <f t="shared" ca="1" si="1"/>
        <v>0.14293537787513691</v>
      </c>
      <c r="J11" s="16">
        <f t="shared" si="2"/>
        <v>4.725013198517914E-3</v>
      </c>
      <c r="K11" s="17" t="s">
        <v>42</v>
      </c>
      <c r="L11" s="31" t="s">
        <v>39</v>
      </c>
      <c r="M11" s="18" t="s">
        <v>34</v>
      </c>
      <c r="N11" s="19">
        <v>46023</v>
      </c>
      <c r="O11" s="33">
        <f ca="1">RESUMO!O9/RESUMO!Q9</f>
        <v>5.4310496534688672E-4</v>
      </c>
    </row>
    <row r="12" spans="1:19" ht="57" customHeight="1" x14ac:dyDescent="0.25">
      <c r="A12" s="12" t="s">
        <v>44</v>
      </c>
      <c r="B12" s="12" t="s">
        <v>45</v>
      </c>
      <c r="C12" s="31" t="s">
        <v>53</v>
      </c>
      <c r="D12" s="31" t="s">
        <v>53</v>
      </c>
      <c r="E12" s="12"/>
      <c r="F12" s="9"/>
      <c r="G12" s="15"/>
      <c r="H12" s="9" t="str">
        <f t="shared" si="0"/>
        <v/>
      </c>
      <c r="I12" s="16"/>
      <c r="J12" s="16" t="str">
        <f t="shared" si="2"/>
        <v/>
      </c>
      <c r="K12" s="17" t="s">
        <v>46</v>
      </c>
      <c r="L12" s="12" t="s">
        <v>47</v>
      </c>
      <c r="M12" s="18" t="s">
        <v>34</v>
      </c>
      <c r="N12" s="19"/>
    </row>
    <row r="13" spans="1:19" ht="57" customHeight="1" x14ac:dyDescent="0.25">
      <c r="A13" s="12" t="s">
        <v>44</v>
      </c>
      <c r="B13" s="12" t="s">
        <v>48</v>
      </c>
      <c r="C13" s="12"/>
      <c r="D13" s="12"/>
      <c r="E13" s="12"/>
      <c r="F13" s="9"/>
      <c r="G13" s="15"/>
      <c r="H13" s="9" t="str">
        <f t="shared" si="0"/>
        <v/>
      </c>
      <c r="I13" s="16" t="str">
        <f t="shared" ca="1" si="1"/>
        <v/>
      </c>
      <c r="J13" s="16" t="str">
        <f t="shared" si="2"/>
        <v/>
      </c>
      <c r="K13" s="17" t="s">
        <v>49</v>
      </c>
      <c r="L13" s="12" t="s">
        <v>47</v>
      </c>
      <c r="M13" s="18" t="s">
        <v>34</v>
      </c>
      <c r="N13" s="19"/>
    </row>
    <row r="14" spans="1:19" ht="57" customHeight="1" x14ac:dyDescent="0.25">
      <c r="A14" s="12"/>
      <c r="B14" s="12"/>
      <c r="C14" s="12"/>
      <c r="D14" s="12"/>
      <c r="E14" s="12"/>
      <c r="F14" s="9"/>
      <c r="G14" s="15"/>
      <c r="H14" s="9" t="str">
        <f t="shared" si="0"/>
        <v/>
      </c>
      <c r="I14" s="16" t="str">
        <f t="shared" ca="1" si="1"/>
        <v/>
      </c>
      <c r="J14" s="16" t="str">
        <f t="shared" si="2"/>
        <v/>
      </c>
      <c r="K14" s="17"/>
      <c r="L14" s="12"/>
      <c r="M14" s="18"/>
      <c r="N14" s="19"/>
    </row>
    <row r="15" spans="1:19" ht="57" customHeight="1" x14ac:dyDescent="0.25">
      <c r="A15" s="12"/>
      <c r="B15" s="12"/>
      <c r="C15" s="12"/>
      <c r="D15" s="12"/>
      <c r="E15" s="12"/>
      <c r="F15" s="9"/>
      <c r="G15" s="15"/>
      <c r="H15" s="9" t="str">
        <f t="shared" si="0"/>
        <v/>
      </c>
      <c r="I15" s="16" t="str">
        <f t="shared" ca="1" si="1"/>
        <v/>
      </c>
      <c r="J15" s="16" t="str">
        <f t="shared" si="2"/>
        <v/>
      </c>
      <c r="K15" s="17"/>
      <c r="L15" s="12"/>
      <c r="M15" s="18"/>
      <c r="N15" s="19"/>
    </row>
    <row r="16" spans="1:19" ht="57" customHeight="1" x14ac:dyDescent="0.25">
      <c r="A16" s="12"/>
      <c r="B16" s="12"/>
      <c r="C16" s="12"/>
      <c r="D16" s="12"/>
      <c r="E16" s="12"/>
      <c r="F16" s="9"/>
      <c r="G16" s="15"/>
      <c r="H16" s="9" t="str">
        <f t="shared" si="0"/>
        <v/>
      </c>
      <c r="I16" s="16" t="str">
        <f t="shared" ca="1" si="1"/>
        <v/>
      </c>
      <c r="J16" s="16" t="str">
        <f t="shared" si="2"/>
        <v/>
      </c>
      <c r="K16" s="17"/>
      <c r="L16" s="12"/>
      <c r="M16" s="18"/>
      <c r="N16" s="19"/>
    </row>
    <row r="17" spans="1:14" ht="57" customHeight="1" x14ac:dyDescent="0.25">
      <c r="A17" s="12"/>
      <c r="B17" s="12"/>
      <c r="C17" s="12"/>
      <c r="D17" s="12"/>
      <c r="E17" s="12"/>
      <c r="F17" s="9"/>
      <c r="G17" s="15"/>
      <c r="H17" s="9" t="str">
        <f t="shared" si="0"/>
        <v/>
      </c>
      <c r="I17" s="16" t="str">
        <f t="shared" ca="1" si="1"/>
        <v/>
      </c>
      <c r="J17" s="16" t="str">
        <f t="shared" si="2"/>
        <v/>
      </c>
      <c r="K17" s="17"/>
      <c r="L17" s="12"/>
      <c r="M17" s="18"/>
      <c r="N17" s="19"/>
    </row>
    <row r="18" spans="1:14" ht="57" customHeight="1" x14ac:dyDescent="0.25">
      <c r="A18" s="12"/>
      <c r="B18" s="12"/>
      <c r="C18" s="12"/>
      <c r="D18" s="12"/>
      <c r="E18" s="12"/>
      <c r="F18" s="9"/>
      <c r="G18" s="15"/>
      <c r="H18" s="9" t="str">
        <f t="shared" si="0"/>
        <v/>
      </c>
      <c r="I18" s="16" t="str">
        <f t="shared" ca="1" si="1"/>
        <v/>
      </c>
      <c r="J18" s="16" t="str">
        <f t="shared" si="2"/>
        <v/>
      </c>
      <c r="K18" s="17"/>
      <c r="L18" s="12"/>
      <c r="M18" s="18"/>
      <c r="N18" s="19"/>
    </row>
    <row r="19" spans="1:14" ht="57" customHeight="1" x14ac:dyDescent="0.25">
      <c r="A19" s="12"/>
      <c r="B19" s="12"/>
      <c r="C19" s="12"/>
      <c r="D19" s="12"/>
      <c r="E19" s="12"/>
      <c r="F19" s="9"/>
      <c r="G19" s="15"/>
      <c r="H19" s="9" t="str">
        <f t="shared" si="0"/>
        <v/>
      </c>
      <c r="I19" s="16" t="str">
        <f t="shared" ca="1" si="1"/>
        <v/>
      </c>
      <c r="J19" s="16" t="str">
        <f t="shared" si="2"/>
        <v/>
      </c>
      <c r="K19" s="17"/>
      <c r="L19" s="12"/>
      <c r="M19" s="18"/>
      <c r="N19" s="19"/>
    </row>
    <row r="20" spans="1:14" ht="57" customHeight="1" x14ac:dyDescent="0.25">
      <c r="A20" s="12"/>
      <c r="B20" s="12"/>
      <c r="C20" s="12"/>
      <c r="D20" s="12"/>
      <c r="E20" s="12"/>
      <c r="F20" s="9"/>
      <c r="G20" s="15"/>
      <c r="H20" s="9" t="str">
        <f t="shared" si="0"/>
        <v/>
      </c>
      <c r="I20" s="16" t="str">
        <f t="shared" ca="1" si="1"/>
        <v/>
      </c>
      <c r="J20" s="16" t="str">
        <f t="shared" si="2"/>
        <v/>
      </c>
      <c r="K20" s="17"/>
      <c r="L20" s="12"/>
      <c r="M20" s="18"/>
      <c r="N20" s="19"/>
    </row>
    <row r="21" spans="1:14" ht="57" customHeight="1" x14ac:dyDescent="0.25">
      <c r="A21" s="12"/>
      <c r="B21" s="12"/>
      <c r="C21" s="12"/>
      <c r="D21" s="12"/>
      <c r="E21" s="12"/>
      <c r="F21" s="9"/>
      <c r="G21" s="15"/>
      <c r="H21" s="9" t="str">
        <f t="shared" si="0"/>
        <v/>
      </c>
      <c r="I21" s="16" t="str">
        <f t="shared" ca="1" si="1"/>
        <v/>
      </c>
      <c r="J21" s="16" t="str">
        <f t="shared" si="2"/>
        <v/>
      </c>
      <c r="K21" s="17"/>
      <c r="L21" s="12"/>
      <c r="M21" s="18"/>
      <c r="N21" s="19"/>
    </row>
    <row r="22" spans="1:14" ht="57" customHeight="1" x14ac:dyDescent="0.25">
      <c r="A22" s="12"/>
      <c r="B22" s="12"/>
      <c r="C22" s="12"/>
      <c r="D22" s="12"/>
      <c r="E22" s="12"/>
      <c r="F22" s="9"/>
      <c r="G22" s="15"/>
      <c r="H22" s="9" t="str">
        <f t="shared" si="0"/>
        <v/>
      </c>
      <c r="I22" s="16" t="str">
        <f t="shared" ca="1" si="1"/>
        <v/>
      </c>
      <c r="J22" s="16" t="str">
        <f t="shared" si="2"/>
        <v/>
      </c>
      <c r="K22" s="17"/>
      <c r="L22" s="12"/>
      <c r="M22" s="18"/>
      <c r="N22" s="19"/>
    </row>
    <row r="23" spans="1:14" ht="57" customHeight="1" x14ac:dyDescent="0.25">
      <c r="A23" s="12"/>
      <c r="B23" s="12"/>
      <c r="C23" s="12"/>
      <c r="D23" s="12"/>
      <c r="E23" s="12"/>
      <c r="F23" s="9"/>
      <c r="G23" s="15"/>
      <c r="H23" s="9" t="str">
        <f t="shared" si="0"/>
        <v/>
      </c>
      <c r="I23" s="16" t="str">
        <f t="shared" ca="1" si="1"/>
        <v/>
      </c>
      <c r="J23" s="16" t="str">
        <f t="shared" si="2"/>
        <v/>
      </c>
      <c r="K23" s="17"/>
      <c r="L23" s="12"/>
      <c r="M23" s="18"/>
      <c r="N23" s="19"/>
    </row>
    <row r="24" spans="1:14" ht="57" customHeight="1" x14ac:dyDescent="0.25">
      <c r="A24" s="12"/>
      <c r="B24" s="12"/>
      <c r="C24" s="12"/>
      <c r="D24" s="12"/>
      <c r="E24" s="12"/>
      <c r="F24" s="9"/>
      <c r="G24" s="15"/>
      <c r="H24" s="9" t="str">
        <f t="shared" si="0"/>
        <v/>
      </c>
      <c r="I24" s="16" t="str">
        <f t="shared" ca="1" si="1"/>
        <v/>
      </c>
      <c r="J24" s="16" t="str">
        <f t="shared" si="2"/>
        <v/>
      </c>
      <c r="K24" s="17"/>
      <c r="L24" s="12"/>
      <c r="M24" s="18"/>
      <c r="N24" s="19"/>
    </row>
    <row r="25" spans="1:14" ht="57" customHeight="1" x14ac:dyDescent="0.25">
      <c r="A25" s="12"/>
      <c r="B25" s="12"/>
      <c r="C25" s="12"/>
      <c r="D25" s="12"/>
      <c r="E25" s="12"/>
      <c r="F25" s="9"/>
      <c r="G25" s="15"/>
      <c r="H25" s="9" t="str">
        <f t="shared" si="0"/>
        <v/>
      </c>
      <c r="I25" s="16" t="str">
        <f t="shared" ca="1" si="1"/>
        <v/>
      </c>
      <c r="J25" s="16" t="str">
        <f t="shared" si="2"/>
        <v/>
      </c>
      <c r="K25" s="17"/>
      <c r="L25" s="12"/>
      <c r="M25" s="18"/>
      <c r="N25" s="19"/>
    </row>
  </sheetData>
  <sheetProtection insertRows="0" deleteRows="0"/>
  <autoFilter ref="A5:N25"/>
  <pageMargins left="0.51180555555555596" right="0.51180555555555596" top="0.78749999999999998" bottom="0.78749999999999998" header="0.511811023622047" footer="0.511811023622047"/>
  <pageSetup paperSize="9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VALIDAÇÃO!$A$3:$A$4</xm:f>
          </x14:formula1>
          <x14:formula2>
            <xm:f>0</xm:f>
          </x14:formula2>
          <xm:sqref>M6:M25</xm:sqref>
        </x14:dataValidation>
        <x14:dataValidation type="list" allowBlank="1" showInputMessage="1" showErrorMessage="1">
          <x14:formula1>
            <xm:f>VALIDAÇÃO!$A$8:$A$11</xm:f>
          </x14:formula1>
          <x14:formula2>
            <xm:f>0</xm:f>
          </x14:formula2>
          <xm:sqref>L6:L25</xm:sqref>
        </x14:dataValidation>
        <x14:dataValidation type="list" allowBlank="1" showInputMessage="1" showErrorMessage="1">
          <x14:formula1>
            <xm:f>VALIDAÇÃO!$A$15:$A$18</xm:f>
          </x14:formula1>
          <x14:formula2>
            <xm:f>0</xm:f>
          </x14:formula2>
          <xm:sqref>E6:E25</xm:sqref>
        </x14:dataValidation>
        <x14:dataValidation allowBlank="1" showInputMessage="1" showErrorMessage="1">
          <x14:formula1>
            <xm:f>VALIDAÇÃO!$A$3:$A$4</xm:f>
          </x14:formula1>
          <x14:formula2>
            <xm:f>0</xm:f>
          </x14:formula2>
          <xm:sqref>N6:N25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Q25" sqref="Q25"/>
    </sheetView>
  </sheetViews>
  <sheetFormatPr defaultColWidth="8.7109375" defaultRowHeight="15" x14ac:dyDescent="0.25"/>
  <sheetData/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V28"/>
  <sheetViews>
    <sheetView showGridLines="0" topLeftCell="I1" workbookViewId="0">
      <selection activeCell="R3" sqref="R3:R9"/>
    </sheetView>
  </sheetViews>
  <sheetFormatPr defaultColWidth="8.7109375" defaultRowHeight="15" x14ac:dyDescent="0.25"/>
  <cols>
    <col min="1" max="1" width="5.5703125" customWidth="1"/>
    <col min="2" max="2" width="17.5703125" customWidth="1"/>
    <col min="3" max="4" width="12.5703125" customWidth="1"/>
    <col min="5" max="5" width="9" customWidth="1"/>
    <col min="6" max="6" width="15.140625" customWidth="1"/>
    <col min="7" max="7" width="14.140625" customWidth="1"/>
    <col min="8" max="10" width="13.85546875" customWidth="1"/>
    <col min="13" max="13" width="17.5703125" bestFit="1" customWidth="1"/>
    <col min="14" max="16" width="12.5703125" customWidth="1"/>
    <col min="17" max="17" width="12.140625" customWidth="1"/>
    <col min="18" max="18" width="11.7109375" customWidth="1"/>
    <col min="19" max="19" width="15.5703125" customWidth="1"/>
    <col min="20" max="20" width="17.5703125" customWidth="1"/>
    <col min="21" max="21" width="18.5703125" customWidth="1"/>
    <col min="22" max="22" width="19.140625" customWidth="1"/>
  </cols>
  <sheetData>
    <row r="1" spans="2:22" ht="25.5" customHeight="1" x14ac:dyDescent="0.25"/>
    <row r="2" spans="2:22" x14ac:dyDescent="0.25">
      <c r="B2" s="21"/>
      <c r="C2" s="21"/>
      <c r="D2" s="21"/>
      <c r="E2" s="21"/>
      <c r="F2" s="21"/>
      <c r="G2" s="21"/>
      <c r="H2" s="21"/>
      <c r="I2" s="37" t="s">
        <v>50</v>
      </c>
      <c r="J2" s="37"/>
    </row>
    <row r="3" spans="2:22" ht="45" x14ac:dyDescent="0.25">
      <c r="B3" s="22">
        <v>45852</v>
      </c>
      <c r="C3" s="23" t="str">
        <f>'Controle de CLD'!I5</f>
        <v>PERCENTUAL TEÓRICO</v>
      </c>
      <c r="D3" s="24" t="str">
        <f>'Controle de CLD'!J5</f>
        <v>PERCENTUAL SEGREGADO</v>
      </c>
      <c r="E3" s="23" t="str">
        <f>'Controle de CLD'!E5</f>
        <v>MOEDA</v>
      </c>
      <c r="F3" s="23" t="str">
        <f>'Controle de CLD'!F5</f>
        <v>VALOR GLOBAL</v>
      </c>
      <c r="G3" s="23" t="str">
        <f>'Controle de CLD'!G5</f>
        <v>VALOR SEGREGADO</v>
      </c>
      <c r="H3" s="23" t="str">
        <f>'Controle de CLD'!H5</f>
        <v>SALDO</v>
      </c>
      <c r="I3" s="23" t="str">
        <f>'Controle de CLD'!C5</f>
        <v>INÍCIO</v>
      </c>
      <c r="J3" s="23" t="str">
        <f>'Controle de CLD'!D5</f>
        <v>FIM</v>
      </c>
      <c r="M3" s="22"/>
      <c r="N3" s="23" t="s">
        <v>12</v>
      </c>
      <c r="O3" s="24" t="s">
        <v>13</v>
      </c>
      <c r="P3" s="23" t="s">
        <v>60</v>
      </c>
      <c r="Q3" s="24" t="s">
        <v>54</v>
      </c>
      <c r="R3" s="24" t="s">
        <v>58</v>
      </c>
      <c r="S3" s="24" t="s">
        <v>57</v>
      </c>
      <c r="T3" s="24" t="s">
        <v>56</v>
      </c>
      <c r="U3" s="23" t="s">
        <v>55</v>
      </c>
      <c r="V3" s="23" t="s">
        <v>59</v>
      </c>
    </row>
    <row r="4" spans="2:22" x14ac:dyDescent="0.25">
      <c r="B4" s="12" t="str">
        <f>'Controle de CLD'!B6</f>
        <v>AIRBUS</v>
      </c>
      <c r="C4" s="25">
        <f ca="1">IF('Controle de CLD'!I6="","",'Controle de CLD'!I6)</f>
        <v>1.0506502395619439</v>
      </c>
      <c r="D4" s="25">
        <f>IF('Controle de CLD'!J6="","",'Controle de CLD'!J6)</f>
        <v>2.5495E-2</v>
      </c>
      <c r="E4" s="26" t="str">
        <f>IF('Controle de CLD'!E6="","",'Controle de CLD'!E6)</f>
        <v>EUR</v>
      </c>
      <c r="F4" s="27">
        <f>IF('Controle de CLD'!F6="","",'Controle de CLD'!F6)</f>
        <v>3000000</v>
      </c>
      <c r="G4" s="9">
        <f>IF('Controle de CLD'!G6="","",'Controle de CLD'!G6)</f>
        <v>76485</v>
      </c>
      <c r="H4" s="9">
        <f>IF('Controle de CLD'!H6="","",'Controle de CLD'!H6)</f>
        <v>2923515</v>
      </c>
      <c r="I4" s="13">
        <f>IF('Controle de CLD'!C6="","",'Controle de CLD'!C6)</f>
        <v>44411</v>
      </c>
      <c r="J4" s="13">
        <f>IF('Controle de CLD'!D6="","",'Controle de CLD'!D6)</f>
        <v>45872</v>
      </c>
      <c r="M4" s="12" t="str">
        <f t="shared" ref="M4:O9" si="0">B4</f>
        <v>AIRBUS</v>
      </c>
      <c r="N4" s="25">
        <f t="shared" ca="1" si="0"/>
        <v>1.0506502395619439</v>
      </c>
      <c r="O4" s="25">
        <f t="shared" si="0"/>
        <v>2.5495E-2</v>
      </c>
      <c r="P4" s="34">
        <f ca="1">O4/N4</f>
        <v>2.4265925081433225E-2</v>
      </c>
      <c r="Q4" s="32">
        <f ca="1">(TODAY() -I4)/30</f>
        <v>51.166666666666664</v>
      </c>
      <c r="R4" s="33">
        <f ca="1">O4/Q4</f>
        <v>4.9827361563517915E-4</v>
      </c>
      <c r="S4" s="35" t="str">
        <f ca="1">IF((1-O4)/R4&gt;T4,"Após vigência",(1-O4)/R4)</f>
        <v>Após vigência</v>
      </c>
      <c r="T4" s="32">
        <f t="shared" ref="T4:T9" ca="1" si="1">(J4-TODAY())/30</f>
        <v>-2.4666666666666668</v>
      </c>
      <c r="U4" s="13" t="str">
        <f t="shared" ref="U4:U6" ca="1" si="2">IFERROR(TODAY()+S4*30,"")</f>
        <v/>
      </c>
      <c r="V4" s="13">
        <f t="shared" ref="V4:V9" ca="1" si="3">IF(U4&lt;&gt;"",U4-6*30,J4-6*30)</f>
        <v>45692</v>
      </c>
    </row>
    <row r="5" spans="2:22" x14ac:dyDescent="0.25">
      <c r="B5" s="12" t="str">
        <f>'Controle de CLD'!B7</f>
        <v>WARTISILA</v>
      </c>
      <c r="C5" s="25">
        <f ca="1">IF('Controle de CLD'!I7="","",'Controle de CLD'!I7)</f>
        <v>0.85900068446269673</v>
      </c>
      <c r="D5" s="25">
        <f>IF('Controle de CLD'!J7="","",'Controle de CLD'!J7)</f>
        <v>0.14996716636751758</v>
      </c>
      <c r="E5" s="26" t="str">
        <f>IF('Controle de CLD'!E7="","",'Controle de CLD'!E7)</f>
        <v>EUR</v>
      </c>
      <c r="F5" s="27">
        <f>IF('Controle de CLD'!F7="","",'Controle de CLD'!F7)</f>
        <v>7466734</v>
      </c>
      <c r="G5" s="9">
        <f>IF('Controle de CLD'!G7="","",'Controle de CLD'!G7)</f>
        <v>1119764.94</v>
      </c>
      <c r="H5" s="9">
        <f>IF('Controle de CLD'!H7="","",'Controle de CLD'!H7)</f>
        <v>6346969.0600000005</v>
      </c>
      <c r="I5" s="13">
        <f>IF('Controle de CLD'!C7="","",'Controle de CLD'!C7)</f>
        <v>44691</v>
      </c>
      <c r="J5" s="13">
        <f>IF('Controle de CLD'!D7="","",'Controle de CLD'!D7)</f>
        <v>46152</v>
      </c>
      <c r="M5" s="12" t="str">
        <f t="shared" si="0"/>
        <v>WARTISILA</v>
      </c>
      <c r="N5" s="25">
        <f t="shared" ca="1" si="0"/>
        <v>0.85900068446269673</v>
      </c>
      <c r="O5" s="25">
        <f t="shared" si="0"/>
        <v>0.14996716636751758</v>
      </c>
      <c r="P5" s="34">
        <f t="shared" ref="P5:P9" ca="1" si="4">O5/N5</f>
        <v>0.17458329088680732</v>
      </c>
      <c r="Q5" s="32">
        <f t="shared" ref="Q5:Q9" ca="1" si="5">(TODAY() -I5)/30</f>
        <v>41.833333333333336</v>
      </c>
      <c r="R5" s="33">
        <f t="shared" ref="R5:R9" ca="1" si="6">O5/Q5</f>
        <v>3.5848725028091851E-3</v>
      </c>
      <c r="S5" s="35" t="str">
        <f t="shared" ref="S5:S9" ca="1" si="7">IF((1-O5)/R5&gt;T5,"Após vigência",(1-O5)/R5)</f>
        <v>Após vigência</v>
      </c>
      <c r="T5" s="32">
        <f t="shared" ca="1" si="1"/>
        <v>6.8666666666666663</v>
      </c>
      <c r="U5" s="13" t="str">
        <f t="shared" ca="1" si="2"/>
        <v/>
      </c>
      <c r="V5" s="13">
        <f t="shared" ca="1" si="3"/>
        <v>45972</v>
      </c>
    </row>
    <row r="6" spans="2:22" x14ac:dyDescent="0.25">
      <c r="B6" s="12" t="str">
        <f>'Controle de CLD'!B8</f>
        <v>MTU-F (RSS)</v>
      </c>
      <c r="C6" s="25">
        <f ca="1">IF('Controle de CLD'!I8="","",'Controle de CLD'!I8)</f>
        <v>0.7344284736481862</v>
      </c>
      <c r="D6" s="25">
        <f>IF('Controle de CLD'!J8="","",'Controle de CLD'!J8)</f>
        <v>0.49749489665092261</v>
      </c>
      <c r="E6" s="26" t="str">
        <f>IF('Controle de CLD'!E8="","",'Controle de CLD'!E8)</f>
        <v>EUR</v>
      </c>
      <c r="F6" s="27">
        <f>IF('Controle de CLD'!F8="","",'Controle de CLD'!F8)</f>
        <v>7550644.5700000003</v>
      </c>
      <c r="G6" s="9">
        <f>IF('Controle de CLD'!G8="","",'Controle de CLD'!G8)</f>
        <v>3756407.14</v>
      </c>
      <c r="H6" s="9">
        <f>IF('Controle de CLD'!H8="","",'Controle de CLD'!H8)</f>
        <v>3794237.43</v>
      </c>
      <c r="I6" s="13">
        <f>IF('Controle de CLD'!C8="","",'Controle de CLD'!C8)</f>
        <v>44873</v>
      </c>
      <c r="J6" s="13">
        <f>IF('Controle de CLD'!D8="","",'Controle de CLD'!D8)</f>
        <v>46334</v>
      </c>
      <c r="M6" s="12" t="str">
        <f t="shared" si="0"/>
        <v>MTU-F (RSS)</v>
      </c>
      <c r="N6" s="25">
        <f t="shared" ca="1" si="0"/>
        <v>0.7344284736481862</v>
      </c>
      <c r="O6" s="25">
        <f t="shared" si="0"/>
        <v>0.49749489665092261</v>
      </c>
      <c r="P6" s="34">
        <f t="shared" ca="1" si="4"/>
        <v>0.67739053495526369</v>
      </c>
      <c r="Q6" s="32">
        <f t="shared" ca="1" si="5"/>
        <v>35.766666666666666</v>
      </c>
      <c r="R6" s="33">
        <f t="shared" ca="1" si="6"/>
        <v>1.3909456569923279E-2</v>
      </c>
      <c r="S6" s="35" t="str">
        <f t="shared" ca="1" si="7"/>
        <v>Após vigência</v>
      </c>
      <c r="T6" s="32">
        <f t="shared" ca="1" si="1"/>
        <v>12.933333333333334</v>
      </c>
      <c r="U6" s="13" t="str">
        <f t="shared" ca="1" si="2"/>
        <v/>
      </c>
      <c r="V6" s="13">
        <f t="shared" ca="1" si="3"/>
        <v>46154</v>
      </c>
    </row>
    <row r="7" spans="2:22" x14ac:dyDescent="0.25">
      <c r="B7" s="12" t="str">
        <f>'Controle de CLD'!B9</f>
        <v>MAN ENERGY</v>
      </c>
      <c r="C7" s="25">
        <f ca="1">IF('Controle de CLD'!I9="","",'Controle de CLD'!I9)</f>
        <v>0.24863088718510407</v>
      </c>
      <c r="D7" s="25">
        <f>IF('Controle de CLD'!J9="","",'Controle de CLD'!J9)</f>
        <v>0.42020903966421819</v>
      </c>
      <c r="E7" s="26" t="str">
        <f>IF('Controle de CLD'!E9="","",'Controle de CLD'!E9)</f>
        <v>EUR</v>
      </c>
      <c r="F7" s="27">
        <f>IF('Controle de CLD'!F9="","",'Controle de CLD'!F9)</f>
        <v>8276521.1399999997</v>
      </c>
      <c r="G7" s="9">
        <f>IF('Controle de CLD'!G9="","",'Controle de CLD'!G9)</f>
        <v>3477869</v>
      </c>
      <c r="H7" s="9">
        <f>IF('Controle de CLD'!H9="","",'Controle de CLD'!H9)</f>
        <v>4798652.1399999997</v>
      </c>
      <c r="I7" s="13">
        <f>IF('Controle de CLD'!C9="","",'Controle de CLD'!C9)</f>
        <v>45492</v>
      </c>
      <c r="J7" s="13">
        <f>IF('Controle de CLD'!D9="","",'Controle de CLD'!D9)</f>
        <v>47318</v>
      </c>
      <c r="M7" s="12" t="str">
        <f t="shared" si="0"/>
        <v>MAN ENERGY</v>
      </c>
      <c r="N7" s="25">
        <f t="shared" ca="1" si="0"/>
        <v>0.24863088718510407</v>
      </c>
      <c r="O7" s="25">
        <f t="shared" si="0"/>
        <v>0.42020903966421819</v>
      </c>
      <c r="P7" s="34">
        <f t="shared" ca="1" si="4"/>
        <v>1.6900918643763487</v>
      </c>
      <c r="Q7" s="32">
        <f t="shared" ca="1" si="5"/>
        <v>15.133333333333333</v>
      </c>
      <c r="R7" s="33">
        <f t="shared" ca="1" si="6"/>
        <v>2.7767117158428514E-2</v>
      </c>
      <c r="S7" s="35">
        <f t="shared" ca="1" si="7"/>
        <v>20.880488133777703</v>
      </c>
      <c r="T7" s="32">
        <f t="shared" ca="1" si="1"/>
        <v>45.733333333333334</v>
      </c>
      <c r="U7" s="13">
        <f ca="1">IFERROR(TODAY()+S7*30,"")</f>
        <v>46572.414644013334</v>
      </c>
      <c r="V7" s="13">
        <f t="shared" ca="1" si="3"/>
        <v>46392.414644013334</v>
      </c>
    </row>
    <row r="8" spans="2:22" x14ac:dyDescent="0.25">
      <c r="B8" s="12" t="str">
        <f>'Controle de CLD'!B10</f>
        <v>LEONARDO UK LTD</v>
      </c>
      <c r="C8" s="25">
        <f ca="1">IF('Controle de CLD'!I10="","",'Controle de CLD'!I10)</f>
        <v>0.17634173055859803</v>
      </c>
      <c r="D8" s="25">
        <f>IF('Controle de CLD'!J10="","",'Controle de CLD'!J10)</f>
        <v>0.37079174576751434</v>
      </c>
      <c r="E8" s="26" t="str">
        <f>IF('Controle de CLD'!E10="","",'Controle de CLD'!E10)</f>
        <v>GBP</v>
      </c>
      <c r="F8" s="27">
        <f>IF('Controle de CLD'!F10="","",'Controle de CLD'!F10)</f>
        <v>12144465.300000001</v>
      </c>
      <c r="G8" s="9">
        <f>IF('Controle de CLD'!G10="","",'Controle de CLD'!G10)</f>
        <v>4503067.49</v>
      </c>
      <c r="H8" s="9">
        <f>IF('Controle de CLD'!H10="","",'Controle de CLD'!H10)</f>
        <v>7641397.8100000005</v>
      </c>
      <c r="I8" s="13">
        <f>IF('Controle de CLD'!C10="","",'Controle de CLD'!C10)</f>
        <v>45624</v>
      </c>
      <c r="J8" s="13">
        <f>IF('Controle de CLD'!D10="","",'Controle de CLD'!D10)</f>
        <v>47450</v>
      </c>
      <c r="M8" s="12" t="str">
        <f t="shared" si="0"/>
        <v>LEONARDO UK LTD</v>
      </c>
      <c r="N8" s="25">
        <f t="shared" ca="1" si="0"/>
        <v>0.17634173055859803</v>
      </c>
      <c r="O8" s="25">
        <f t="shared" si="0"/>
        <v>0.37079174576751434</v>
      </c>
      <c r="P8" s="34">
        <f t="shared" ca="1" si="4"/>
        <v>2.1026885955636061</v>
      </c>
      <c r="Q8" s="32">
        <f t="shared" ca="1" si="5"/>
        <v>10.733333333333333</v>
      </c>
      <c r="R8" s="33">
        <f t="shared" ca="1" si="6"/>
        <v>3.4545814823060343E-2</v>
      </c>
      <c r="S8" s="35">
        <f t="shared" ca="1" si="7"/>
        <v>18.213733196198074</v>
      </c>
      <c r="T8" s="32">
        <f t="shared" ca="1" si="1"/>
        <v>50.133333333333333</v>
      </c>
      <c r="U8" s="13">
        <f t="shared" ref="U8:U9" ca="1" si="8">IFERROR(TODAY()+S8*30,"")</f>
        <v>46492.411995885945</v>
      </c>
      <c r="V8" s="13">
        <f t="shared" ca="1" si="3"/>
        <v>46312.411995885945</v>
      </c>
    </row>
    <row r="9" spans="2:22" x14ac:dyDescent="0.25">
      <c r="B9" s="12" t="str">
        <f>'Controle de CLD'!B11</f>
        <v>QUANTIPARTS</v>
      </c>
      <c r="C9" s="25">
        <f ca="1">IF('Controle de CLD'!I11="","",'Controle de CLD'!I11)</f>
        <v>0.14293537787513691</v>
      </c>
      <c r="D9" s="25">
        <f>IF('Controle de CLD'!J11="","",'Controle de CLD'!J11)</f>
        <v>4.725013198517914E-3</v>
      </c>
      <c r="E9" s="26" t="str">
        <f>IF('Controle de CLD'!E11="","",'Controle de CLD'!E11)</f>
        <v>EUR</v>
      </c>
      <c r="F9" s="27">
        <f>IF('Controle de CLD'!F11="","",'Controle de CLD'!F11)</f>
        <v>5416725.6100000003</v>
      </c>
      <c r="G9" s="9">
        <f>IF('Controle de CLD'!G11="","",'Controle de CLD'!G11)</f>
        <v>25594.1</v>
      </c>
      <c r="H9" s="9">
        <f>IF('Controle de CLD'!H11="","",'Controle de CLD'!H11)</f>
        <v>5391131.5100000007</v>
      </c>
      <c r="I9" s="13">
        <f>IF('Controle de CLD'!C11="","",'Controle de CLD'!C11)</f>
        <v>45685</v>
      </c>
      <c r="J9" s="13">
        <f>IF('Controle de CLD'!D11="","",'Controle de CLD'!D11)</f>
        <v>47511</v>
      </c>
      <c r="M9" s="12" t="str">
        <f t="shared" si="0"/>
        <v>QUANTIPARTS</v>
      </c>
      <c r="N9" s="25">
        <f t="shared" ca="1" si="0"/>
        <v>0.14293537787513691</v>
      </c>
      <c r="O9" s="25">
        <f t="shared" si="0"/>
        <v>4.725013198517914E-3</v>
      </c>
      <c r="P9" s="34">
        <f t="shared" ca="1" si="4"/>
        <v>3.30569888907805E-2</v>
      </c>
      <c r="Q9" s="32">
        <f t="shared" ca="1" si="5"/>
        <v>8.6999999999999993</v>
      </c>
      <c r="R9" s="33">
        <f t="shared" ca="1" si="6"/>
        <v>5.4310496534688672E-4</v>
      </c>
      <c r="S9" s="35" t="str">
        <f t="shared" ca="1" si="7"/>
        <v>Após vigência</v>
      </c>
      <c r="T9" s="32">
        <f t="shared" ca="1" si="1"/>
        <v>52.166666666666664</v>
      </c>
      <c r="U9" s="13" t="str">
        <f t="shared" ca="1" si="8"/>
        <v/>
      </c>
      <c r="V9" s="13">
        <f t="shared" ca="1" si="3"/>
        <v>47331</v>
      </c>
    </row>
    <row r="11" spans="2:22" ht="30" customHeight="1" x14ac:dyDescent="0.25"/>
    <row r="12" spans="2:22" x14ac:dyDescent="0.25">
      <c r="G12" s="28"/>
      <c r="N12" s="36"/>
    </row>
    <row r="13" spans="2:22" x14ac:dyDescent="0.25">
      <c r="G13" s="28"/>
    </row>
    <row r="28" ht="34.5" customHeight="1" x14ac:dyDescent="0.25"/>
  </sheetData>
  <mergeCells count="1">
    <mergeCell ref="I2:J2"/>
  </mergeCells>
  <conditionalFormatting sqref="S4:S9">
    <cfRule type="cellIs" dxfId="3" priority="4" operator="lessThan">
      <formula>T4</formula>
    </cfRule>
  </conditionalFormatting>
  <conditionalFormatting sqref="V4:V9">
    <cfRule type="cellIs" dxfId="2" priority="3" operator="lessThan">
      <formula>TODAY()</formula>
    </cfRule>
  </conditionalFormatting>
  <conditionalFormatting sqref="P4:P9">
    <cfRule type="cellIs" dxfId="1" priority="2" operator="greaterThan">
      <formula>1</formula>
    </cfRule>
    <cfRule type="cellIs" dxfId="0" priority="1" operator="lessThan">
      <formula>1</formula>
    </cfRule>
  </conditionalFormatting>
  <pageMargins left="0.51180555555555596" right="0.51180555555555596" top="0.78749999999999998" bottom="0.78749999999999998" header="0.511811023622047" footer="0.511811023622047"/>
  <pageSetup paperSize="9" scale="67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8"/>
  <sheetViews>
    <sheetView showGridLines="0" workbookViewId="0">
      <selection activeCell="E18" sqref="E18"/>
    </sheetView>
  </sheetViews>
  <sheetFormatPr defaultColWidth="9.140625" defaultRowHeight="15" x14ac:dyDescent="0.25"/>
  <cols>
    <col min="1" max="1" width="16.42578125" style="1" customWidth="1"/>
    <col min="2" max="4" width="17.7109375" style="1" customWidth="1"/>
    <col min="5" max="16384" width="9.140625" style="1"/>
  </cols>
  <sheetData>
    <row r="2" spans="1:1" x14ac:dyDescent="0.25">
      <c r="A2" s="6" t="s">
        <v>16</v>
      </c>
    </row>
    <row r="3" spans="1:1" x14ac:dyDescent="0.25">
      <c r="A3" s="29" t="s">
        <v>34</v>
      </c>
    </row>
    <row r="4" spans="1:1" x14ac:dyDescent="0.25">
      <c r="A4" s="29" t="s">
        <v>23</v>
      </c>
    </row>
    <row r="7" spans="1:1" x14ac:dyDescent="0.25">
      <c r="A7" s="6" t="s">
        <v>15</v>
      </c>
    </row>
    <row r="8" spans="1:1" x14ac:dyDescent="0.25">
      <c r="A8" s="29" t="s">
        <v>22</v>
      </c>
    </row>
    <row r="9" spans="1:1" x14ac:dyDescent="0.25">
      <c r="A9" s="29" t="s">
        <v>39</v>
      </c>
    </row>
    <row r="10" spans="1:1" x14ac:dyDescent="0.25">
      <c r="A10" s="29" t="s">
        <v>43</v>
      </c>
    </row>
    <row r="11" spans="1:1" x14ac:dyDescent="0.25">
      <c r="A11" s="30" t="s">
        <v>47</v>
      </c>
    </row>
    <row r="14" spans="1:1" x14ac:dyDescent="0.25">
      <c r="A14" s="6" t="s">
        <v>9</v>
      </c>
    </row>
    <row r="15" spans="1:1" x14ac:dyDescent="0.25">
      <c r="A15" s="29" t="s">
        <v>51</v>
      </c>
    </row>
    <row r="16" spans="1:1" x14ac:dyDescent="0.25">
      <c r="A16" s="29" t="s">
        <v>20</v>
      </c>
    </row>
    <row r="17" spans="1:1" x14ac:dyDescent="0.25">
      <c r="A17" s="29" t="s">
        <v>52</v>
      </c>
    </row>
    <row r="18" spans="1:1" x14ac:dyDescent="0.25">
      <c r="A18" s="30" t="s">
        <v>37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Controle de CLD</vt:lpstr>
      <vt:lpstr>Parâmetros de extração - SOMAR</vt:lpstr>
      <vt:lpstr>RESUMO</vt:lpstr>
      <vt:lpstr>VALIDAÇÃO</vt:lpstr>
      <vt:lpstr>RESUMO!Area_de_impressao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 (IM) Concellos</dc:creator>
  <cp:lastModifiedBy>Estagiário Moisés Figueiredo de Andrade</cp:lastModifiedBy>
  <cp:revision>1</cp:revision>
  <cp:lastPrinted>2025-02-18T11:46:13Z</cp:lastPrinted>
  <dcterms:created xsi:type="dcterms:W3CDTF">2025-01-15T13:05:37Z</dcterms:created>
  <dcterms:modified xsi:type="dcterms:W3CDTF">2025-10-16T18:19:19Z</dcterms:modified>
  <dc:language>pt-BR</dc:language>
</cp:coreProperties>
</file>